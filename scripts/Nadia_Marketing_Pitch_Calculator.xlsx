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  <font>
      <b val="1"/>
      <sz val="11"/>
    </font>
    <font>
      <b val="1"/>
      <color rgb="00006600"/>
      <sz val="12"/>
    </font>
    <font>
      <b val="1"/>
      <color rgb="00CC3300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3366"/>
        <bgColor rgb="001A3366"/>
      </patternFill>
    </fill>
    <fill>
      <patternFill patternType="solid">
        <fgColor rgb="00FFF2B3"/>
        <bgColor rgb="00FFF2B3"/>
      </patternFill>
    </fill>
    <fill>
      <patternFill patternType="solid">
        <fgColor rgb="00336699"/>
        <bgColor rgb="00336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3" fillId="3" borderId="1" pivotButton="0" quotePrefix="0" xfId="0"/>
    <xf numFmtId="165" fontId="0" fillId="0" borderId="0" pivotButton="0" quotePrefix="0" xfId="0"/>
    <xf numFmtId="9" fontId="3" fillId="3" borderId="1" pivotButton="0" quotePrefix="0" xfId="0"/>
    <xf numFmtId="164" fontId="0" fillId="0" borderId="0" pivotButton="0" quotePrefix="0" xfId="0"/>
    <xf numFmtId="0" fontId="3" fillId="3" borderId="1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 Nadia + Marketing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'Pitch Calculator'!B39</f>
            </strRef>
          </tx>
          <spPr>
            <a:solidFill xmlns:a="http://schemas.openxmlformats.org/drawingml/2006/main">
              <a:srgbClr val="CC3333"/>
            </a:solidFill>
            <a:ln xmlns:a="http://schemas.openxmlformats.org/drawingml/2006/main">
              <a:prstDash val="solid"/>
            </a:ln>
          </spPr>
          <cat>
            <numRef>
              <f>'Pitch Calculator'!$A$40:$A$41</f>
            </numRef>
          </cat>
          <val>
            <numRef>
              <f>'Pitch Calculator'!$B$40:$B$41</f>
            </numRef>
          </val>
        </ser>
        <ser>
          <idx val="1"/>
          <order val="1"/>
          <tx>
            <strRef>
              <f>'Pitch Calculator'!C39</f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>
              <a:prstDash val="solid"/>
            </a:ln>
          </spPr>
          <cat>
            <numRef>
              <f>'Pitch Calculator'!$A$40:$A$41</f>
            </numRef>
          </cat>
          <val>
            <numRef>
              <f>'Pitch Calculator'!$C$40:$C$41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INPUTS</t>
        </is>
      </c>
      <c r="B1" s="1" t="n"/>
      <c r="C1" s="1" t="inlineStr">
        <is>
          <t>Change yellow cells live</t>
        </is>
      </c>
      <c r="D1" s="1" t="n"/>
      <c r="E1" s="1" t="n"/>
      <c r="F1" s="1" t="n"/>
    </row>
    <row r="2">
      <c r="A2" s="2" t="inlineStr">
        <is>
          <t>Monthly Ad Spend (SGD)</t>
        </is>
      </c>
      <c r="B2" s="3" t="n">
        <v>1000</v>
      </c>
    </row>
    <row r="3">
      <c r="A3" s="2" t="inlineStr">
        <is>
          <t>Cost per Lead (SGD)</t>
        </is>
      </c>
      <c r="B3" s="3" t="n">
        <v>240</v>
      </c>
    </row>
    <row r="4">
      <c r="A4" s="2" t="inlineStr">
        <is>
          <t>Leads per Month</t>
        </is>
      </c>
      <c r="B4" s="4">
        <f>B2/B3</f>
        <v/>
      </c>
    </row>
    <row r="5">
      <c r="A5" s="2" t="inlineStr">
        <is>
          <t>Lead to Appointment Rate (%)</t>
        </is>
      </c>
      <c r="B5" s="5" t="n">
        <v>0.5</v>
      </c>
    </row>
    <row r="6">
      <c r="A6" s="2" t="inlineStr">
        <is>
          <t>Appointments from Leads</t>
        </is>
      </c>
      <c r="B6" s="4">
        <f>B4*B5</f>
        <v/>
      </c>
    </row>
    <row r="7">
      <c r="A7" s="2" t="inlineStr">
        <is>
          <t>Cost per Appointment (SGD)</t>
        </is>
      </c>
      <c r="B7" s="6">
        <f>B2/B6</f>
        <v/>
      </c>
    </row>
    <row r="8">
      <c r="A8" s="2" t="inlineStr">
        <is>
          <t>Close Rate (%)</t>
        </is>
      </c>
      <c r="B8" s="5" t="n">
        <v>0.3</v>
      </c>
    </row>
    <row r="9">
      <c r="A9" s="2" t="inlineStr">
        <is>
          <t>Avg Commission per Deal (SGD)</t>
        </is>
      </c>
      <c r="B9" s="3" t="n">
        <v>10000</v>
      </c>
    </row>
    <row r="11">
      <c r="A11" s="1" t="inlineStr">
        <is>
          <t>APPOINTMENT VALUE</t>
        </is>
      </c>
      <c r="B11" s="1" t="n"/>
      <c r="C11" s="1" t="n"/>
      <c r="D11" s="1" t="n"/>
      <c r="E11" s="1" t="n"/>
      <c r="F11" s="1" t="n"/>
    </row>
    <row r="12">
      <c r="A12" s="2" t="inlineStr">
        <is>
          <t>Avg Commission per Deal (SGD)</t>
        </is>
      </c>
      <c r="B12" s="6">
        <f>B9</f>
        <v/>
      </c>
    </row>
    <row r="13">
      <c r="A13" s="2" t="inlineStr">
        <is>
          <t>Appointments per Deal (current)</t>
        </is>
      </c>
      <c r="B13" s="7" t="n">
        <v>5</v>
      </c>
    </row>
    <row r="14">
      <c r="A14" s="2" t="inlineStr">
        <is>
          <t>Value per Appointment (SGD)</t>
        </is>
      </c>
      <c r="B14" s="8">
        <f>B12/B13</f>
        <v/>
      </c>
    </row>
    <row r="15">
      <c r="A15" s="9" t="inlineStr">
        <is>
          <t>Each appt is worth this much, but you pay:</t>
        </is>
      </c>
      <c r="B15" s="10">
        <f>B7</f>
        <v/>
      </c>
    </row>
    <row r="17">
      <c r="A17" s="1" t="inlineStr">
        <is>
          <t>SCENARIO COMPARISON</t>
        </is>
      </c>
      <c r="B17" s="1" t="inlineStr">
        <is>
          <t>Current</t>
        </is>
      </c>
      <c r="C17" s="1" t="inlineStr">
        <is>
          <t>Nadia + Marketing</t>
        </is>
      </c>
    </row>
    <row r="18">
      <c r="A18" s="2" t="inlineStr">
        <is>
          <t>Monthly Ad Spend (SGD)</t>
        </is>
      </c>
      <c r="B18" s="11">
        <f>B2</f>
        <v/>
      </c>
      <c r="C18" s="11">
        <f>B2</f>
        <v/>
      </c>
    </row>
    <row r="19">
      <c r="A19" s="2" t="inlineStr">
        <is>
          <t>Cost per Appointment (SGD)</t>
        </is>
      </c>
      <c r="B19" s="3" t="n">
        <v>600</v>
      </c>
      <c r="C19" s="3" t="n">
        <v>400</v>
      </c>
    </row>
    <row r="20">
      <c r="A20" s="2" t="inlineStr">
        <is>
          <t>Appointments / Month</t>
        </is>
      </c>
      <c r="B20" s="12">
        <f>B18/B19</f>
        <v/>
      </c>
      <c r="C20" s="12">
        <f>C18/C19</f>
        <v/>
      </c>
    </row>
    <row r="21">
      <c r="A21" s="2" t="inlineStr">
        <is>
          <t>Close Rate (%)</t>
        </is>
      </c>
      <c r="B21" s="5" t="n">
        <v>0.2</v>
      </c>
      <c r="C21" s="5" t="n">
        <v>0.35</v>
      </c>
    </row>
    <row r="22">
      <c r="A22" s="2" t="inlineStr">
        <is>
          <t>Deals / Month</t>
        </is>
      </c>
      <c r="B22" s="12">
        <f>B20*B21</f>
        <v/>
      </c>
      <c r="C22" s="12">
        <f>C20*C21</f>
        <v/>
      </c>
    </row>
    <row r="23">
      <c r="A23" s="2" t="inlineStr">
        <is>
          <t>Revenue / Month (SGD)</t>
        </is>
      </c>
      <c r="B23" s="11">
        <f>B22*$B$9</f>
        <v/>
      </c>
      <c r="C23" s="11">
        <f>C22*$B$9</f>
        <v/>
      </c>
    </row>
    <row r="24">
      <c r="A24" s="2" t="inlineStr">
        <is>
          <t>Cost per Deal / CAC (SGD)</t>
        </is>
      </c>
      <c r="B24" s="11">
        <f>B18/B22</f>
        <v/>
      </c>
      <c r="C24" s="11">
        <f>C18/C22</f>
        <v/>
      </c>
    </row>
    <row r="25">
      <c r="A25" s="2" t="inlineStr">
        <is>
          <t>ROI (%)</t>
        </is>
      </c>
      <c r="B25" s="13">
        <f>(B23-B18)/B18</f>
        <v/>
      </c>
      <c r="C25" s="13">
        <f>(C23-C18)/C18</f>
        <v/>
      </c>
    </row>
    <row r="27">
      <c r="A27" s="1" t="inlineStr">
        <is>
          <t>SCALING: CURRENT MODEL</t>
        </is>
      </c>
      <c r="B27" s="1" t="n"/>
      <c r="C27" s="1" t="n"/>
      <c r="D27" s="1" t="n"/>
      <c r="E27" s="1" t="n"/>
      <c r="F27" s="1" t="n"/>
    </row>
    <row r="28">
      <c r="A28" s="14" t="inlineStr">
        <is>
          <t>Ad Spend (SGD)</t>
        </is>
      </c>
      <c r="B28" s="14" t="inlineStr">
        <is>
          <t>Cost/Appt</t>
        </is>
      </c>
      <c r="C28" s="14" t="inlineStr">
        <is>
          <t>Appointments</t>
        </is>
      </c>
      <c r="D28" s="14" t="inlineStr">
        <is>
          <t>Close Rate</t>
        </is>
      </c>
      <c r="E28" s="14" t="inlineStr">
        <is>
          <t>Deals</t>
        </is>
      </c>
      <c r="F28" s="14" t="inlineStr">
        <is>
          <t>Revenue (SGD)</t>
        </is>
      </c>
    </row>
    <row r="29">
      <c r="A29" s="11" t="n">
        <v>1000</v>
      </c>
      <c r="B29" s="11">
        <f>B19</f>
        <v/>
      </c>
      <c r="C29" s="12">
        <f>A29/B29</f>
        <v/>
      </c>
      <c r="D29" s="13">
        <f>B21</f>
        <v/>
      </c>
      <c r="E29" s="12">
        <f>C29*D29</f>
        <v/>
      </c>
      <c r="F29" s="11">
        <f>E29*$B$9</f>
        <v/>
      </c>
    </row>
    <row r="30">
      <c r="A30" s="11" t="n">
        <v>10000</v>
      </c>
      <c r="B30" s="11">
        <f>B19</f>
        <v/>
      </c>
      <c r="C30" s="12">
        <f>A30/B30</f>
        <v/>
      </c>
      <c r="D30" s="13">
        <f>B21</f>
        <v/>
      </c>
      <c r="E30" s="12">
        <f>C30*D30</f>
        <v/>
      </c>
      <c r="F30" s="11">
        <f>E30*$B$9</f>
        <v/>
      </c>
    </row>
    <row r="31">
      <c r="A31" s="11" t="n">
        <v>20000</v>
      </c>
      <c r="B31" s="11">
        <f>B19</f>
        <v/>
      </c>
      <c r="C31" s="12">
        <f>A31/B31</f>
        <v/>
      </c>
      <c r="D31" s="13">
        <f>B21</f>
        <v/>
      </c>
      <c r="E31" s="12">
        <f>C31*D31</f>
        <v/>
      </c>
      <c r="F31" s="11">
        <f>E31*$B$9</f>
        <v/>
      </c>
    </row>
    <row r="33">
      <c r="A33" s="1" t="inlineStr">
        <is>
          <t>SCALING: NADIA + MARKETING</t>
        </is>
      </c>
      <c r="B33" s="1" t="n"/>
      <c r="C33" s="1" t="n"/>
      <c r="D33" s="1" t="n"/>
      <c r="E33" s="1" t="n"/>
      <c r="F33" s="1" t="n"/>
    </row>
    <row r="34">
      <c r="A34" s="14" t="inlineStr">
        <is>
          <t>Ad Spend (SGD)</t>
        </is>
      </c>
      <c r="B34" s="14" t="inlineStr">
        <is>
          <t>Cost/Appt</t>
        </is>
      </c>
      <c r="C34" s="14" t="inlineStr">
        <is>
          <t>Appointments</t>
        </is>
      </c>
      <c r="D34" s="14" t="inlineStr">
        <is>
          <t>Close Rate</t>
        </is>
      </c>
      <c r="E34" s="14" t="inlineStr">
        <is>
          <t>Deals</t>
        </is>
      </c>
      <c r="F34" s="14" t="inlineStr">
        <is>
          <t>Revenue (SGD)</t>
        </is>
      </c>
    </row>
    <row r="35">
      <c r="A35" s="11" t="n">
        <v>1000</v>
      </c>
      <c r="B35" s="11">
        <f>C19</f>
        <v/>
      </c>
      <c r="C35" s="12">
        <f>A35/B35</f>
        <v/>
      </c>
      <c r="D35" s="13">
        <f>C21</f>
        <v/>
      </c>
      <c r="E35" s="12">
        <f>C35*D35</f>
        <v/>
      </c>
      <c r="F35" s="11">
        <f>E35*$B$9</f>
        <v/>
      </c>
    </row>
    <row r="36">
      <c r="A36" s="11" t="n">
        <v>10000</v>
      </c>
      <c r="B36" s="11">
        <f>C19</f>
        <v/>
      </c>
      <c r="C36" s="12">
        <f>A36/B36</f>
        <v/>
      </c>
      <c r="D36" s="13">
        <f>C21</f>
        <v/>
      </c>
      <c r="E36" s="12">
        <f>C36*D36</f>
        <v/>
      </c>
      <c r="F36" s="11">
        <f>E36*$B$9</f>
        <v/>
      </c>
    </row>
    <row r="37">
      <c r="A37" s="11" t="n">
        <v>20000</v>
      </c>
      <c r="B37" s="11">
        <f>C19</f>
        <v/>
      </c>
      <c r="C37" s="12">
        <f>A37/B37</f>
        <v/>
      </c>
      <c r="D37" s="13">
        <f>C21</f>
        <v/>
      </c>
      <c r="E37" s="12">
        <f>C37*D37</f>
        <v/>
      </c>
      <c r="F37" s="11">
        <f>E37*$B$9</f>
        <v/>
      </c>
    </row>
    <row r="39">
      <c r="A39" s="1" t="inlineStr">
        <is>
          <t>CHART DATA</t>
        </is>
      </c>
      <c r="B39" s="1" t="inlineStr">
        <is>
          <t>Current</t>
        </is>
      </c>
      <c r="C39" s="1" t="inlineStr">
        <is>
          <t>Nadia + Marketing</t>
        </is>
      </c>
    </row>
    <row r="40">
      <c r="A40" t="inlineStr">
        <is>
          <t>Appointments / Month</t>
        </is>
      </c>
      <c r="B40">
        <f>B20</f>
        <v/>
      </c>
      <c r="C40">
        <f>C20</f>
        <v/>
      </c>
    </row>
    <row r="41">
      <c r="A41" t="inlineStr">
        <is>
          <t>Deals / Month</t>
        </is>
      </c>
      <c r="B41">
        <f>B22</f>
        <v/>
      </c>
      <c r="C41">
        <f>C22</f>
        <v/>
      </c>
    </row>
    <row r="42">
      <c r="A42" t="inlineStr">
        <is>
          <t>Revenue / Month (SGD)</t>
        </is>
      </c>
      <c r="B42" s="6">
        <f>B23</f>
        <v/>
      </c>
      <c r="C42" s="6">
        <f>C23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2026-04-03T12:36:12Z</dcterms:created>
  <dcterms:modified xmlns:dcterms="http://purl.org/dc/terms/" xmlns:xsi="http://www.w3.org/2001/XMLSchema-instance" xsi:type="dcterms:W3CDTF">2026-04-03T12:36:12Z</dcterms:modified>
</cp:coreProperties>
</file>